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filterPrivacy="1" defaultThemeVersion="166925"/>
  <xr:revisionPtr revIDLastSave="0" documentId="13_ncr:1_{06C83AAB-8DEE-4BC8-A2C1-32B9DBEB5AC6}" xr6:coauthVersionLast="47" xr6:coauthVersionMax="47" xr10:uidLastSave="{00000000-0000-0000-0000-000000000000}"/>
  <bookViews>
    <workbookView xWindow="-16320" yWindow="1785" windowWidth="16440" windowHeight="28320" xr2:uid="{A22C7B05-6B0A-4116-A99A-60EDDEA67682}"/>
  </bookViews>
  <sheets>
    <sheet name="Hoja1" sheetId="3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7" i="3" l="1"/>
  <c r="I37" i="3"/>
  <c r="H38" i="3"/>
  <c r="I38" i="3"/>
  <c r="H39" i="3"/>
  <c r="I39" i="3"/>
  <c r="H40" i="3"/>
  <c r="I40" i="3"/>
  <c r="H41" i="3"/>
  <c r="I41" i="3"/>
  <c r="I36" i="3"/>
  <c r="H36" i="3"/>
  <c r="I30" i="3"/>
  <c r="I31" i="3"/>
  <c r="I32" i="3"/>
  <c r="I33" i="3"/>
  <c r="I34" i="3"/>
  <c r="I29" i="3"/>
  <c r="H30" i="3"/>
  <c r="H31" i="3"/>
  <c r="H32" i="3"/>
  <c r="H33" i="3"/>
  <c r="H34" i="3"/>
  <c r="H29" i="3"/>
  <c r="I17" i="3"/>
  <c r="I18" i="3"/>
  <c r="I19" i="3"/>
  <c r="I20" i="3"/>
  <c r="I16" i="3"/>
  <c r="H17" i="3"/>
  <c r="H18" i="3"/>
  <c r="H19" i="3"/>
  <c r="H20" i="3"/>
  <c r="H16" i="3"/>
  <c r="I27" i="3"/>
  <c r="H27" i="3"/>
  <c r="I26" i="3"/>
  <c r="H26" i="3"/>
  <c r="I25" i="3"/>
  <c r="H25" i="3"/>
  <c r="I24" i="3"/>
  <c r="H24" i="3"/>
  <c r="I23" i="3"/>
  <c r="H23" i="3"/>
  <c r="I22" i="3"/>
  <c r="H22" i="3"/>
  <c r="I14" i="3"/>
  <c r="H14" i="3"/>
  <c r="I13" i="3"/>
  <c r="H13" i="3"/>
  <c r="I12" i="3"/>
  <c r="H12" i="3"/>
  <c r="I11" i="3"/>
  <c r="H11" i="3"/>
  <c r="I10" i="3"/>
  <c r="H10" i="3"/>
  <c r="I9" i="3"/>
  <c r="H9" i="3"/>
</calcChain>
</file>

<file path=xl/sharedStrings.xml><?xml version="1.0" encoding="utf-8"?>
<sst xmlns="http://schemas.openxmlformats.org/spreadsheetml/2006/main" count="147" uniqueCount="84">
  <si>
    <t>Week</t>
  </si>
  <si>
    <t>Task</t>
  </si>
  <si>
    <t>Task description</t>
  </si>
  <si>
    <t>Status</t>
  </si>
  <si>
    <t>Client feedback</t>
  </si>
  <si>
    <t>Retry required? (Cient desition)</t>
  </si>
  <si>
    <t>Weekly  Progress%</t>
  </si>
  <si>
    <t>Overall progress %</t>
  </si>
  <si>
    <t>Not yet</t>
  </si>
  <si>
    <t>Number</t>
  </si>
  <si>
    <t>Text</t>
  </si>
  <si>
    <t>Combobox</t>
  </si>
  <si>
    <t>Automated</t>
  </si>
  <si>
    <t>Milestone</t>
  </si>
  <si>
    <t>Milestone 1</t>
  </si>
  <si>
    <t>Milestone 2</t>
  </si>
  <si>
    <t>Milestone 3</t>
  </si>
  <si>
    <t>Milestone 4</t>
  </si>
  <si>
    <t>Milestone 5</t>
  </si>
  <si>
    <t>Task 1.1</t>
  </si>
  <si>
    <t>Tak 1.2</t>
  </si>
  <si>
    <t>Task 1.3</t>
  </si>
  <si>
    <t>Task 1.4</t>
  </si>
  <si>
    <t>Task 1.5</t>
  </si>
  <si>
    <t>Task 1.6</t>
  </si>
  <si>
    <t>Task 2.1</t>
  </si>
  <si>
    <t>Tak 2.2</t>
  </si>
  <si>
    <t>Task 2.3</t>
  </si>
  <si>
    <t>Task 2.4</t>
  </si>
  <si>
    <t>Taask 2.5</t>
  </si>
  <si>
    <t>Task 3.1</t>
  </si>
  <si>
    <t>Task 3.2</t>
  </si>
  <si>
    <t>Task 3.3</t>
  </si>
  <si>
    <t>Task 3.4</t>
  </si>
  <si>
    <t>Task 3.5</t>
  </si>
  <si>
    <t>Task 3.6</t>
  </si>
  <si>
    <t>Task 4.1</t>
  </si>
  <si>
    <t>Task 4.2</t>
  </si>
  <si>
    <t>Task 4.3</t>
  </si>
  <si>
    <t>Task 4.4</t>
  </si>
  <si>
    <t>Task 4.5</t>
  </si>
  <si>
    <t>Task 4.6</t>
  </si>
  <si>
    <t>Task 5.1</t>
  </si>
  <si>
    <t>Task 5.2</t>
  </si>
  <si>
    <t>Task 5.3</t>
  </si>
  <si>
    <t>Task 5.4</t>
  </si>
  <si>
    <t>Task 5.5</t>
  </si>
  <si>
    <t>Task 5.6</t>
  </si>
  <si>
    <t>Task description 1.1</t>
  </si>
  <si>
    <t>Task description 1.2</t>
  </si>
  <si>
    <t>Task description 1.3</t>
  </si>
  <si>
    <t>Task description 1.4</t>
  </si>
  <si>
    <t>Task description 1.5</t>
  </si>
  <si>
    <t>Task description 1.6</t>
  </si>
  <si>
    <t>Task description 2.1</t>
  </si>
  <si>
    <t>Task description 2.2</t>
  </si>
  <si>
    <t>Task description 2.3</t>
  </si>
  <si>
    <t>Task description 2.4</t>
  </si>
  <si>
    <t>Task description 2.5</t>
  </si>
  <si>
    <t>Task description 3.1</t>
  </si>
  <si>
    <t>Task description 3.2</t>
  </si>
  <si>
    <t>Task description 3.3</t>
  </si>
  <si>
    <t>Task description 3.4</t>
  </si>
  <si>
    <t>Task description 3.5</t>
  </si>
  <si>
    <t>Task description 3.6</t>
  </si>
  <si>
    <t>Task description 4.1</t>
  </si>
  <si>
    <t>Task description 4.2</t>
  </si>
  <si>
    <t>Task description 4.3</t>
  </si>
  <si>
    <t>Task description 4.4</t>
  </si>
  <si>
    <t>Task description 4.5</t>
  </si>
  <si>
    <t>Task description 4.6</t>
  </si>
  <si>
    <t>Task description 5.1</t>
  </si>
  <si>
    <t>Task description 5.2</t>
  </si>
  <si>
    <t>Task description 5.3</t>
  </si>
  <si>
    <t>Task description 5.4</t>
  </si>
  <si>
    <t>Task description 5.5</t>
  </si>
  <si>
    <t>Task description 5.6</t>
  </si>
  <si>
    <t>Project ID</t>
  </si>
  <si>
    <t>Client Name</t>
  </si>
  <si>
    <t>Project name</t>
  </si>
  <si>
    <t>Last Update</t>
  </si>
  <si>
    <t>Target Date</t>
  </si>
  <si>
    <t>Completion Date</t>
  </si>
  <si>
    <t>Project lifetime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</si>
</sst>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10" fontId="0" fillId="0" borderId="0" xfId="0" applyNumberFormat="1" applyAlignment="1">
      <alignment vertical="center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vertical="center" wrapText="1"/>
    </xf>
    <xf numFmtId="10" fontId="0" fillId="0" borderId="2" xfId="0" applyNumberFormat="1" applyBorder="1" applyAlignment="1">
      <alignment vertical="center"/>
    </xf>
    <xf numFmtId="10" fontId="0" fillId="0" borderId="3" xfId="0" applyNumberFormat="1" applyBorder="1" applyAlignment="1">
      <alignment vertical="center"/>
    </xf>
    <xf numFmtId="10" fontId="0" fillId="0" borderId="5" xfId="0" applyNumberFormat="1" applyBorder="1" applyAlignment="1">
      <alignment vertical="center"/>
    </xf>
    <xf numFmtId="0" fontId="0" fillId="0" borderId="6" xfId="0" applyBorder="1" applyAlignment="1">
      <alignment vertical="center" wrapText="1"/>
    </xf>
    <xf numFmtId="0" fontId="0" fillId="0" borderId="6" xfId="0" applyBorder="1" applyAlignment="1">
      <alignment vertical="center"/>
    </xf>
    <xf numFmtId="10" fontId="0" fillId="0" borderId="6" xfId="0" applyNumberFormat="1" applyBorder="1" applyAlignment="1">
      <alignment vertical="center"/>
    </xf>
    <xf numFmtId="10" fontId="0" fillId="0" borderId="7" xfId="0" applyNumberFormat="1" applyBorder="1" applyAlignment="1">
      <alignment vertical="center"/>
    </xf>
    <xf numFmtId="10" fontId="0" fillId="0" borderId="11" xfId="0" applyNumberFormat="1" applyBorder="1" applyAlignment="1">
      <alignment vertical="center"/>
    </xf>
    <xf numFmtId="10" fontId="0" fillId="0" borderId="13" xfId="0" applyNumberFormat="1" applyBorder="1" applyAlignment="1">
      <alignment vertical="center"/>
    </xf>
    <xf numFmtId="0" fontId="0" fillId="0" borderId="11" xfId="0" applyBorder="1" applyAlignment="1">
      <alignment vertical="center"/>
    </xf>
    <xf numFmtId="0" fontId="0" fillId="0" borderId="8" xfId="0" applyBorder="1" applyAlignment="1">
      <alignment vertical="center"/>
    </xf>
    <xf numFmtId="10" fontId="0" fillId="0" borderId="8" xfId="0" applyNumberFormat="1" applyBorder="1" applyAlignment="1">
      <alignment vertical="center"/>
    </xf>
    <xf numFmtId="10" fontId="0" fillId="0" borderId="9" xfId="0" applyNumberFormat="1" applyBorder="1" applyAlignment="1">
      <alignment vertical="center"/>
    </xf>
    <xf numFmtId="10" fontId="0" fillId="0" borderId="10" xfId="0" applyNumberFormat="1" applyBorder="1" applyAlignment="1">
      <alignment vertical="center"/>
    </xf>
    <xf numFmtId="0" fontId="0" fillId="0" borderId="11" xfId="0" applyBorder="1" applyAlignment="1">
      <alignment vertical="center" wrapText="1"/>
    </xf>
    <xf numFmtId="10" fontId="0" fillId="0" borderId="14" xfId="0" applyNumberFormat="1" applyBorder="1" applyAlignment="1">
      <alignment vertical="center"/>
    </xf>
    <xf numFmtId="0" fontId="0" fillId="0" borderId="8" xfId="0" applyBorder="1" applyAlignment="1">
      <alignment vertical="center" wrapText="1"/>
    </xf>
    <xf numFmtId="0" fontId="0" fillId="2" borderId="0" xfId="0" applyFill="1" applyAlignment="1">
      <alignment vertical="center"/>
    </xf>
    <xf numFmtId="10" fontId="0" fillId="2" borderId="0" xfId="0" applyNumberFormat="1" applyFill="1" applyAlignment="1">
      <alignment vertical="center"/>
    </xf>
    <xf numFmtId="0" fontId="0" fillId="0" borderId="4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0" fillId="0" borderId="12" xfId="0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8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/>
    </xf>
    <xf numFmtId="0" fontId="0" fillId="0" borderId="11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theme="0" tint="-0.14996795556505021"/>
        </patternFill>
      </fill>
    </dxf>
  </dxfs>
  <tableStyles count="0" defaultTableStyle="TableStyleMedium2" defaultPivotStyle="PivotStyleLight16"/>
  <colors>
    <mruColors>
      <color rgb="FFFFFF4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B980F-B6F6-41FB-BB37-72FA80C82E81}">
  <dimension ref="A1:I48"/>
  <sheetViews>
    <sheetView tabSelected="1" zoomScale="70" zoomScaleNormal="70" workbookViewId="0">
      <selection activeCell="B1" sqref="B1"/>
    </sheetView>
  </sheetViews>
  <sheetFormatPr baseColWidth="10" defaultColWidth="11.42578125" defaultRowHeight="15" x14ac:dyDescent="0.25"/>
  <cols>
    <col min="1" max="1" width="13.85546875" style="1" customWidth="1"/>
    <col min="2" max="2" width="32.7109375" style="1" bestFit="1" customWidth="1"/>
    <col min="3" max="3" width="25.42578125" style="1" customWidth="1"/>
    <col min="4" max="4" width="38.140625" style="1" customWidth="1"/>
    <col min="5" max="5" width="11.42578125" style="1"/>
    <col min="6" max="6" width="36.7109375" style="1" customWidth="1"/>
    <col min="7" max="7" width="14.42578125" style="1" customWidth="1"/>
    <col min="8" max="8" width="17.28515625" style="3" bestFit="1" customWidth="1"/>
    <col min="9" max="9" width="17" style="1" bestFit="1" customWidth="1"/>
    <col min="10" max="16384" width="11.42578125" style="1"/>
  </cols>
  <sheetData>
    <row r="1" spans="1:9" x14ac:dyDescent="0.25">
      <c r="A1" s="1" t="s">
        <v>77</v>
      </c>
      <c r="E1" s="1" t="s">
        <v>83</v>
      </c>
    </row>
    <row r="2" spans="1:9" x14ac:dyDescent="0.25">
      <c r="A2" s="1" t="s">
        <v>78</v>
      </c>
      <c r="E2" s="1" t="s">
        <v>81</v>
      </c>
    </row>
    <row r="3" spans="1:9" x14ac:dyDescent="0.25">
      <c r="A3" s="1" t="s">
        <v>79</v>
      </c>
      <c r="E3" s="1" t="s">
        <v>80</v>
      </c>
    </row>
    <row r="4" spans="1:9" x14ac:dyDescent="0.25">
      <c r="A4" s="1" t="s">
        <v>80</v>
      </c>
      <c r="E4" s="1" t="s">
        <v>82</v>
      </c>
    </row>
    <row r="5" spans="1:9" x14ac:dyDescent="0.25">
      <c r="A5" s="23"/>
      <c r="B5" s="23"/>
      <c r="C5" s="23"/>
      <c r="D5" s="23"/>
      <c r="E5" s="23"/>
      <c r="F5" s="23"/>
      <c r="G5" s="23"/>
      <c r="H5" s="24"/>
      <c r="I5" s="23"/>
    </row>
    <row r="6" spans="1:9" x14ac:dyDescent="0.25">
      <c r="A6" s="1" t="s">
        <v>0</v>
      </c>
      <c r="B6" s="1" t="s">
        <v>13</v>
      </c>
      <c r="C6" s="1" t="s">
        <v>1</v>
      </c>
      <c r="D6" s="1" t="s">
        <v>2</v>
      </c>
      <c r="E6" s="1" t="s">
        <v>3</v>
      </c>
      <c r="F6" s="1" t="s">
        <v>4</v>
      </c>
      <c r="G6" s="1" t="s">
        <v>5</v>
      </c>
      <c r="H6" s="3" t="s">
        <v>6</v>
      </c>
      <c r="I6" s="1" t="s">
        <v>7</v>
      </c>
    </row>
    <row r="7" spans="1:9" x14ac:dyDescent="0.25">
      <c r="A7" s="1" t="s">
        <v>9</v>
      </c>
      <c r="B7" s="1" t="s">
        <v>10</v>
      </c>
      <c r="C7" s="1" t="s">
        <v>10</v>
      </c>
      <c r="D7" s="1" t="s">
        <v>10</v>
      </c>
      <c r="E7" s="1" t="s">
        <v>11</v>
      </c>
      <c r="F7" s="1" t="s">
        <v>10</v>
      </c>
      <c r="G7" s="1" t="s">
        <v>11</v>
      </c>
      <c r="H7" s="3" t="s">
        <v>12</v>
      </c>
      <c r="I7" s="1" t="s">
        <v>12</v>
      </c>
    </row>
    <row r="8" spans="1:9" ht="18.75" customHeight="1" x14ac:dyDescent="0.25">
      <c r="A8" s="32" t="s">
        <v>14</v>
      </c>
      <c r="B8" s="32"/>
      <c r="C8" s="32"/>
      <c r="D8" s="32"/>
      <c r="E8" s="32"/>
      <c r="F8" s="32"/>
      <c r="G8" s="32"/>
      <c r="H8" s="32"/>
      <c r="I8" s="32"/>
    </row>
    <row r="9" spans="1:9" x14ac:dyDescent="0.25">
      <c r="A9" s="25">
        <v>1</v>
      </c>
      <c r="B9" s="2" t="s">
        <v>14</v>
      </c>
      <c r="C9" s="1" t="s">
        <v>19</v>
      </c>
      <c r="D9" s="2" t="s">
        <v>48</v>
      </c>
      <c r="E9" s="1" t="s">
        <v>8</v>
      </c>
      <c r="H9" s="3">
        <f t="shared" ref="H9:H14" si="0">IF(E9="Achieved",1/6,0)</f>
        <v>0</v>
      </c>
      <c r="I9" s="8">
        <f t="shared" ref="I9:I14" si="1">IF(E9="Achieved",1/30,0)</f>
        <v>0</v>
      </c>
    </row>
    <row r="10" spans="1:9" x14ac:dyDescent="0.25">
      <c r="A10" s="25">
        <v>1</v>
      </c>
      <c r="B10" s="2" t="s">
        <v>14</v>
      </c>
      <c r="C10" s="2" t="s">
        <v>20</v>
      </c>
      <c r="D10" s="2" t="s">
        <v>49</v>
      </c>
      <c r="E10" s="1" t="s">
        <v>8</v>
      </c>
      <c r="H10" s="3">
        <f t="shared" si="0"/>
        <v>0</v>
      </c>
      <c r="I10" s="8">
        <f t="shared" si="1"/>
        <v>0</v>
      </c>
    </row>
    <row r="11" spans="1:9" x14ac:dyDescent="0.25">
      <c r="A11" s="25">
        <v>1</v>
      </c>
      <c r="B11" s="2" t="s">
        <v>14</v>
      </c>
      <c r="C11" s="2" t="s">
        <v>21</v>
      </c>
      <c r="D11" s="2" t="s">
        <v>50</v>
      </c>
      <c r="E11" s="1" t="s">
        <v>8</v>
      </c>
      <c r="H11" s="3">
        <f t="shared" si="0"/>
        <v>0</v>
      </c>
      <c r="I11" s="8">
        <f t="shared" si="1"/>
        <v>0</v>
      </c>
    </row>
    <row r="12" spans="1:9" x14ac:dyDescent="0.25">
      <c r="A12" s="25">
        <v>1</v>
      </c>
      <c r="B12" s="2" t="s">
        <v>14</v>
      </c>
      <c r="C12" s="2" t="s">
        <v>22</v>
      </c>
      <c r="D12" s="2" t="s">
        <v>51</v>
      </c>
      <c r="E12" s="1" t="s">
        <v>8</v>
      </c>
      <c r="H12" s="3">
        <f t="shared" si="0"/>
        <v>0</v>
      </c>
      <c r="I12" s="8">
        <f t="shared" si="1"/>
        <v>0</v>
      </c>
    </row>
    <row r="13" spans="1:9" x14ac:dyDescent="0.25">
      <c r="A13" s="25">
        <v>1</v>
      </c>
      <c r="B13" s="2" t="s">
        <v>14</v>
      </c>
      <c r="C13" s="2" t="s">
        <v>23</v>
      </c>
      <c r="D13" s="2" t="s">
        <v>52</v>
      </c>
      <c r="E13" s="1" t="s">
        <v>8</v>
      </c>
      <c r="H13" s="3">
        <f t="shared" si="0"/>
        <v>0</v>
      </c>
      <c r="I13" s="8">
        <f t="shared" si="1"/>
        <v>0</v>
      </c>
    </row>
    <row r="14" spans="1:9" x14ac:dyDescent="0.25">
      <c r="A14" s="28">
        <v>1</v>
      </c>
      <c r="B14" s="20" t="s">
        <v>14</v>
      </c>
      <c r="C14" s="9" t="s">
        <v>24</v>
      </c>
      <c r="D14" s="20" t="s">
        <v>53</v>
      </c>
      <c r="E14" s="15" t="s">
        <v>8</v>
      </c>
      <c r="F14" s="10"/>
      <c r="G14" s="10"/>
      <c r="H14" s="11">
        <f t="shared" si="0"/>
        <v>0</v>
      </c>
      <c r="I14" s="12">
        <f t="shared" si="1"/>
        <v>0</v>
      </c>
    </row>
    <row r="15" spans="1:9" x14ac:dyDescent="0.25">
      <c r="A15" s="33" t="s">
        <v>15</v>
      </c>
      <c r="B15" s="33"/>
      <c r="C15" s="33"/>
      <c r="D15" s="33"/>
      <c r="E15" s="33"/>
      <c r="F15" s="33"/>
      <c r="G15" s="33"/>
      <c r="H15" s="33"/>
      <c r="I15" s="34"/>
    </row>
    <row r="16" spans="1:9" x14ac:dyDescent="0.25">
      <c r="A16" s="26">
        <v>2</v>
      </c>
      <c r="B16" s="5" t="s">
        <v>15</v>
      </c>
      <c r="C16" s="5" t="s">
        <v>25</v>
      </c>
      <c r="D16" s="22" t="s">
        <v>54</v>
      </c>
      <c r="E16" s="16" t="s">
        <v>8</v>
      </c>
      <c r="F16" s="4"/>
      <c r="G16" s="4"/>
      <c r="H16" s="6">
        <f>IF(E16="Achieved",1/5,0)</f>
        <v>0</v>
      </c>
      <c r="I16" s="7">
        <f>IF(E16="Achieved",1/25,0)</f>
        <v>0</v>
      </c>
    </row>
    <row r="17" spans="1:9" x14ac:dyDescent="0.25">
      <c r="A17" s="27">
        <v>2</v>
      </c>
      <c r="B17" s="2" t="s">
        <v>15</v>
      </c>
      <c r="C17" s="2" t="s">
        <v>26</v>
      </c>
      <c r="D17" s="2" t="s">
        <v>55</v>
      </c>
      <c r="E17" s="1" t="s">
        <v>8</v>
      </c>
      <c r="H17" s="3">
        <f t="shared" ref="H17:H20" si="2">IF(E17="Achieved",1/5,0)</f>
        <v>0</v>
      </c>
      <c r="I17" s="8">
        <f t="shared" ref="I17:I20" si="3">IF(E17="Achieved",1/25,0)</f>
        <v>0</v>
      </c>
    </row>
    <row r="18" spans="1:9" x14ac:dyDescent="0.25">
      <c r="A18" s="27">
        <v>2</v>
      </c>
      <c r="B18" s="2" t="s">
        <v>15</v>
      </c>
      <c r="C18" s="2" t="s">
        <v>27</v>
      </c>
      <c r="D18" s="2" t="s">
        <v>56</v>
      </c>
      <c r="E18" s="1" t="s">
        <v>8</v>
      </c>
      <c r="H18" s="3">
        <f t="shared" si="2"/>
        <v>0</v>
      </c>
      <c r="I18" s="8">
        <f t="shared" si="3"/>
        <v>0</v>
      </c>
    </row>
    <row r="19" spans="1:9" x14ac:dyDescent="0.25">
      <c r="A19" s="27">
        <v>2</v>
      </c>
      <c r="B19" s="2" t="s">
        <v>15</v>
      </c>
      <c r="C19" s="2" t="s">
        <v>28</v>
      </c>
      <c r="D19" s="2" t="s">
        <v>57</v>
      </c>
      <c r="E19" s="1" t="s">
        <v>8</v>
      </c>
      <c r="H19" s="3">
        <f t="shared" si="2"/>
        <v>0</v>
      </c>
      <c r="I19" s="8">
        <f t="shared" si="3"/>
        <v>0</v>
      </c>
    </row>
    <row r="20" spans="1:9" x14ac:dyDescent="0.25">
      <c r="A20" s="27">
        <v>2</v>
      </c>
      <c r="B20" s="2" t="s">
        <v>15</v>
      </c>
      <c r="C20" s="2" t="s">
        <v>29</v>
      </c>
      <c r="D20" s="2" t="s">
        <v>58</v>
      </c>
      <c r="E20" s="1" t="s">
        <v>8</v>
      </c>
      <c r="H20" s="3">
        <f t="shared" si="2"/>
        <v>0</v>
      </c>
      <c r="I20" s="8">
        <f t="shared" si="3"/>
        <v>0</v>
      </c>
    </row>
    <row r="21" spans="1:9" x14ac:dyDescent="0.25">
      <c r="A21" s="35" t="s">
        <v>16</v>
      </c>
      <c r="B21" s="36"/>
      <c r="C21" s="36"/>
      <c r="D21" s="36"/>
      <c r="E21" s="36"/>
      <c r="F21" s="36"/>
      <c r="G21" s="36"/>
      <c r="H21" s="36"/>
      <c r="I21" s="37"/>
    </row>
    <row r="22" spans="1:9" x14ac:dyDescent="0.25">
      <c r="A22" s="25">
        <v>3</v>
      </c>
      <c r="B22" s="2" t="s">
        <v>16</v>
      </c>
      <c r="C22" s="2" t="s">
        <v>30</v>
      </c>
      <c r="D22" s="2" t="s">
        <v>59</v>
      </c>
      <c r="E22" s="1" t="s">
        <v>8</v>
      </c>
      <c r="H22" s="3">
        <f t="shared" ref="H22:H27" si="4">IF(E22="Achieved",1/6,0)</f>
        <v>0</v>
      </c>
      <c r="I22" s="8">
        <f t="shared" ref="I22:I27" si="5">IF(E22="Achieved",1/30,0)</f>
        <v>0</v>
      </c>
    </row>
    <row r="23" spans="1:9" x14ac:dyDescent="0.25">
      <c r="A23" s="25">
        <v>3</v>
      </c>
      <c r="B23" s="2" t="s">
        <v>16</v>
      </c>
      <c r="C23" s="1" t="s">
        <v>31</v>
      </c>
      <c r="D23" s="2" t="s">
        <v>60</v>
      </c>
      <c r="E23" s="1" t="s">
        <v>8</v>
      </c>
      <c r="H23" s="3">
        <f t="shared" si="4"/>
        <v>0</v>
      </c>
      <c r="I23" s="8">
        <f t="shared" si="5"/>
        <v>0</v>
      </c>
    </row>
    <row r="24" spans="1:9" x14ac:dyDescent="0.25">
      <c r="A24" s="25">
        <v>3</v>
      </c>
      <c r="B24" s="2" t="s">
        <v>16</v>
      </c>
      <c r="C24" s="2" t="s">
        <v>32</v>
      </c>
      <c r="D24" s="2" t="s">
        <v>61</v>
      </c>
      <c r="E24" s="1" t="s">
        <v>8</v>
      </c>
      <c r="H24" s="3">
        <f t="shared" si="4"/>
        <v>0</v>
      </c>
      <c r="I24" s="8">
        <f t="shared" si="5"/>
        <v>0</v>
      </c>
    </row>
    <row r="25" spans="1:9" x14ac:dyDescent="0.25">
      <c r="A25" s="25">
        <v>3</v>
      </c>
      <c r="B25" s="2" t="s">
        <v>16</v>
      </c>
      <c r="C25" s="2" t="s">
        <v>33</v>
      </c>
      <c r="D25" s="2" t="s">
        <v>62</v>
      </c>
      <c r="E25" s="1" t="s">
        <v>8</v>
      </c>
      <c r="H25" s="3">
        <f t="shared" si="4"/>
        <v>0</v>
      </c>
      <c r="I25" s="8">
        <f t="shared" si="5"/>
        <v>0</v>
      </c>
    </row>
    <row r="26" spans="1:9" x14ac:dyDescent="0.25">
      <c r="A26" s="25">
        <v>3</v>
      </c>
      <c r="B26" s="2" t="s">
        <v>16</v>
      </c>
      <c r="C26" s="1" t="s">
        <v>34</v>
      </c>
      <c r="D26" s="2" t="s">
        <v>63</v>
      </c>
      <c r="E26" s="1" t="s">
        <v>8</v>
      </c>
      <c r="H26" s="3">
        <f t="shared" si="4"/>
        <v>0</v>
      </c>
      <c r="I26" s="8">
        <f t="shared" si="5"/>
        <v>0</v>
      </c>
    </row>
    <row r="27" spans="1:9" x14ac:dyDescent="0.25">
      <c r="A27" s="28">
        <v>3</v>
      </c>
      <c r="B27" s="2" t="s">
        <v>16</v>
      </c>
      <c r="C27" s="20" t="s">
        <v>35</v>
      </c>
      <c r="D27" s="20" t="s">
        <v>64</v>
      </c>
      <c r="E27" s="15" t="s">
        <v>8</v>
      </c>
      <c r="F27" s="15"/>
      <c r="G27" s="15"/>
      <c r="H27" s="13">
        <f t="shared" si="4"/>
        <v>0</v>
      </c>
      <c r="I27" s="14">
        <f t="shared" si="5"/>
        <v>0</v>
      </c>
    </row>
    <row r="28" spans="1:9" x14ac:dyDescent="0.25">
      <c r="A28" s="31" t="s">
        <v>17</v>
      </c>
      <c r="B28" s="31"/>
      <c r="C28" s="31"/>
      <c r="D28" s="31"/>
      <c r="E28" s="31"/>
      <c r="F28" s="31"/>
      <c r="G28" s="31"/>
      <c r="H28" s="31"/>
      <c r="I28" s="31"/>
    </row>
    <row r="29" spans="1:9" x14ac:dyDescent="0.25">
      <c r="A29" s="29">
        <v>4</v>
      </c>
      <c r="B29" s="5" t="s">
        <v>17</v>
      </c>
      <c r="C29" s="22" t="s">
        <v>36</v>
      </c>
      <c r="D29" s="22" t="s">
        <v>65</v>
      </c>
      <c r="E29" s="16" t="s">
        <v>8</v>
      </c>
      <c r="F29" s="16"/>
      <c r="G29" s="16"/>
      <c r="H29" s="17">
        <f>IF(E29="Achieved",1/6,0)</f>
        <v>0</v>
      </c>
      <c r="I29" s="18">
        <f>IF(E29="Achieved",1/230,0)</f>
        <v>0</v>
      </c>
    </row>
    <row r="30" spans="1:9" x14ac:dyDescent="0.25">
      <c r="A30" s="25">
        <v>4</v>
      </c>
      <c r="B30" s="2" t="s">
        <v>17</v>
      </c>
      <c r="C30" s="2" t="s">
        <v>37</v>
      </c>
      <c r="D30" s="2" t="s">
        <v>66</v>
      </c>
      <c r="E30" s="1" t="s">
        <v>8</v>
      </c>
      <c r="H30" s="3">
        <f t="shared" ref="H30:H34" si="6">IF(E30="Achieved",1/6,0)</f>
        <v>0</v>
      </c>
      <c r="I30" s="19">
        <f t="shared" ref="I30:I34" si="7">IF(E30="Achieved",1/230,0)</f>
        <v>0</v>
      </c>
    </row>
    <row r="31" spans="1:9" x14ac:dyDescent="0.25">
      <c r="A31" s="25">
        <v>4</v>
      </c>
      <c r="B31" s="2" t="s">
        <v>17</v>
      </c>
      <c r="C31" s="2" t="s">
        <v>38</v>
      </c>
      <c r="D31" s="2" t="s">
        <v>67</v>
      </c>
      <c r="E31" s="1" t="s">
        <v>8</v>
      </c>
      <c r="H31" s="3">
        <f t="shared" si="6"/>
        <v>0</v>
      </c>
      <c r="I31" s="19">
        <f t="shared" si="7"/>
        <v>0</v>
      </c>
    </row>
    <row r="32" spans="1:9" x14ac:dyDescent="0.25">
      <c r="A32" s="25">
        <v>4</v>
      </c>
      <c r="B32" s="2" t="s">
        <v>17</v>
      </c>
      <c r="C32" s="2" t="s">
        <v>39</v>
      </c>
      <c r="D32" s="2" t="s">
        <v>68</v>
      </c>
      <c r="E32" s="1" t="s">
        <v>8</v>
      </c>
      <c r="H32" s="3">
        <f t="shared" si="6"/>
        <v>0</v>
      </c>
      <c r="I32" s="19">
        <f t="shared" si="7"/>
        <v>0</v>
      </c>
    </row>
    <row r="33" spans="1:9" x14ac:dyDescent="0.25">
      <c r="A33" s="25">
        <v>4</v>
      </c>
      <c r="B33" s="2" t="s">
        <v>17</v>
      </c>
      <c r="C33" s="2" t="s">
        <v>40</v>
      </c>
      <c r="D33" s="2" t="s">
        <v>69</v>
      </c>
      <c r="E33" s="1" t="s">
        <v>8</v>
      </c>
      <c r="H33" s="3">
        <f t="shared" si="6"/>
        <v>0</v>
      </c>
      <c r="I33" s="19">
        <f t="shared" si="7"/>
        <v>0</v>
      </c>
    </row>
    <row r="34" spans="1:9" x14ac:dyDescent="0.25">
      <c r="A34" s="28">
        <v>4</v>
      </c>
      <c r="B34" s="20" t="s">
        <v>17</v>
      </c>
      <c r="C34" s="20" t="s">
        <v>41</v>
      </c>
      <c r="D34" s="20" t="s">
        <v>70</v>
      </c>
      <c r="E34" s="15" t="s">
        <v>8</v>
      </c>
      <c r="F34" s="15"/>
      <c r="G34" s="15"/>
      <c r="H34" s="13">
        <f t="shared" si="6"/>
        <v>0</v>
      </c>
      <c r="I34" s="21">
        <f t="shared" si="7"/>
        <v>0</v>
      </c>
    </row>
    <row r="35" spans="1:9" ht="17.25" customHeight="1" x14ac:dyDescent="0.25">
      <c r="A35" s="30" t="s">
        <v>18</v>
      </c>
      <c r="B35" s="30"/>
      <c r="C35" s="30"/>
      <c r="D35" s="30"/>
      <c r="E35" s="30"/>
      <c r="F35" s="30"/>
      <c r="G35" s="30"/>
      <c r="H35" s="30"/>
      <c r="I35" s="30"/>
    </row>
    <row r="36" spans="1:9" x14ac:dyDescent="0.25">
      <c r="A36" s="5">
        <v>5</v>
      </c>
      <c r="B36" s="22" t="s">
        <v>18</v>
      </c>
      <c r="C36" s="22" t="s">
        <v>42</v>
      </c>
      <c r="D36" s="22" t="s">
        <v>71</v>
      </c>
      <c r="E36" s="4" t="s">
        <v>8</v>
      </c>
      <c r="F36" s="4"/>
      <c r="G36" s="4"/>
      <c r="H36" s="6">
        <f>IF(E36="Achieved",1/7,0)</f>
        <v>0</v>
      </c>
      <c r="I36" s="7">
        <f>IF(E36="Achieved",1/35,0)</f>
        <v>0</v>
      </c>
    </row>
    <row r="37" spans="1:9" x14ac:dyDescent="0.25">
      <c r="A37" s="2">
        <v>5</v>
      </c>
      <c r="B37" s="2" t="s">
        <v>18</v>
      </c>
      <c r="C37" s="2" t="s">
        <v>43</v>
      </c>
      <c r="D37" s="2" t="s">
        <v>72</v>
      </c>
      <c r="E37" s="1" t="s">
        <v>8</v>
      </c>
      <c r="H37" s="3">
        <f t="shared" ref="H37:H41" si="8">IF(E37="Achieved",1/7,0)</f>
        <v>0</v>
      </c>
      <c r="I37" s="8">
        <f t="shared" ref="I37:I41" si="9">IF(E37="Achieved",1/35,0)</f>
        <v>0</v>
      </c>
    </row>
    <row r="38" spans="1:9" x14ac:dyDescent="0.25">
      <c r="A38" s="2">
        <v>5</v>
      </c>
      <c r="B38" s="2" t="s">
        <v>18</v>
      </c>
      <c r="C38" s="2" t="s">
        <v>44</v>
      </c>
      <c r="D38" s="2" t="s">
        <v>73</v>
      </c>
      <c r="E38" s="1" t="s">
        <v>8</v>
      </c>
      <c r="H38" s="3">
        <f t="shared" si="8"/>
        <v>0</v>
      </c>
      <c r="I38" s="8">
        <f t="shared" si="9"/>
        <v>0</v>
      </c>
    </row>
    <row r="39" spans="1:9" x14ac:dyDescent="0.25">
      <c r="A39" s="2">
        <v>5</v>
      </c>
      <c r="B39" s="2" t="s">
        <v>18</v>
      </c>
      <c r="C39" s="2" t="s">
        <v>45</v>
      </c>
      <c r="D39" s="2" t="s">
        <v>74</v>
      </c>
      <c r="E39" s="1" t="s">
        <v>8</v>
      </c>
      <c r="H39" s="3">
        <f t="shared" si="8"/>
        <v>0</v>
      </c>
      <c r="I39" s="8">
        <f t="shared" si="9"/>
        <v>0</v>
      </c>
    </row>
    <row r="40" spans="1:9" x14ac:dyDescent="0.25">
      <c r="A40" s="2">
        <v>5</v>
      </c>
      <c r="B40" s="2" t="s">
        <v>18</v>
      </c>
      <c r="C40" s="2" t="s">
        <v>46</v>
      </c>
      <c r="D40" s="2" t="s">
        <v>75</v>
      </c>
      <c r="E40" s="1" t="s">
        <v>8</v>
      </c>
      <c r="H40" s="3">
        <f t="shared" si="8"/>
        <v>0</v>
      </c>
      <c r="I40" s="8">
        <f t="shared" si="9"/>
        <v>0</v>
      </c>
    </row>
    <row r="41" spans="1:9" x14ac:dyDescent="0.25">
      <c r="A41" s="20">
        <v>5</v>
      </c>
      <c r="B41" s="20" t="s">
        <v>18</v>
      </c>
      <c r="C41" s="20" t="s">
        <v>47</v>
      </c>
      <c r="D41" s="20" t="s">
        <v>76</v>
      </c>
      <c r="E41" s="15" t="s">
        <v>8</v>
      </c>
      <c r="F41" s="15"/>
      <c r="G41" s="15"/>
      <c r="H41" s="13">
        <f t="shared" si="8"/>
        <v>0</v>
      </c>
      <c r="I41" s="14">
        <f t="shared" si="9"/>
        <v>0</v>
      </c>
    </row>
    <row r="48" spans="1:9" x14ac:dyDescent="0.25">
      <c r="C48" s="2"/>
      <c r="D48" s="2"/>
    </row>
  </sheetData>
  <mergeCells count="5">
    <mergeCell ref="A35:I35"/>
    <mergeCell ref="A28:I28"/>
    <mergeCell ref="A8:I8"/>
    <mergeCell ref="A15:I15"/>
    <mergeCell ref="A21:I21"/>
  </mergeCells>
  <phoneticPr fontId="1" type="noConversion"/>
  <conditionalFormatting sqref="C9 F9:I9">
    <cfRule type="expression" dxfId="0" priority="1">
      <formula>$E7="Not yet"</formula>
    </cfRule>
  </conditionalFormatting>
  <dataValidations disablePrompts="1" xWindow="555" yWindow="535" count="2">
    <dataValidation type="list" allowBlank="1" showInputMessage="1" showErrorMessage="1" errorTitle="Valor no válido" error="Por favor seleccione una opción de la lista" promptTitle="Status" prompt="Seleccione el estado de la tarea" sqref="E9:E14 E22:E27 E16:E20 E29:E34 E36:E41" xr:uid="{A1302F42-AED7-48B1-9F0F-92EC16EFDCDE}">
      <formula1>"Not yet,Working on,Delayed,Achieved"</formula1>
    </dataValidation>
    <dataValidation type="list" allowBlank="1" showInputMessage="1" showErrorMessage="1" errorTitle="Valor no válido" error="Por favor seleccione Yes o No de la lista." promptTitle="Selección requerida" prompt="Seleccione Yes o No" sqref="G9:G14 G36:G41 G29:G34 G22:G27 G16:G20" xr:uid="{6BA7A761-D5A6-45C2-904B-149DFD58AE4E}">
      <formula1>"Yes,No"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2026-05-12T15:44:31Z</dcterms:created>
  <dcterms:modified xsi:type="dcterms:W3CDTF">2026-05-26T16:35:25Z</dcterms:modified>
  <cp:category/>
  <cp:contentStatus/>
</cp:coreProperties>
</file>