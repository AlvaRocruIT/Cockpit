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8975CF74-28DA-4911-8F72-CC3B6ADD1A45}" xr6:coauthVersionLast="47" xr6:coauthVersionMax="47" xr10:uidLastSave="{00000000-0000-0000-0000-000000000000}"/>
  <bookViews>
    <workbookView xWindow="-120" yWindow="-120" windowWidth="29040" windowHeight="15720" xr2:uid="{A22C7B05-6B0A-4116-A99A-60EDDEA67682}"/>
  </bookViews>
  <sheets>
    <sheet name="Hoj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3" l="1"/>
  <c r="I40" i="3"/>
  <c r="H41" i="3"/>
  <c r="I41" i="3"/>
  <c r="H36" i="3"/>
  <c r="I36" i="3"/>
  <c r="H37" i="3"/>
  <c r="I37" i="3"/>
  <c r="H38" i="3"/>
  <c r="I38" i="3"/>
  <c r="H39" i="3"/>
  <c r="I39" i="3"/>
  <c r="I35" i="3"/>
  <c r="H35" i="3"/>
  <c r="I29" i="3"/>
  <c r="I30" i="3"/>
  <c r="I31" i="3"/>
  <c r="I32" i="3"/>
  <c r="I33" i="3"/>
  <c r="I28" i="3"/>
  <c r="H29" i="3"/>
  <c r="H30" i="3"/>
  <c r="H31" i="3"/>
  <c r="H32" i="3"/>
  <c r="H33" i="3"/>
  <c r="H28" i="3"/>
  <c r="I16" i="3"/>
  <c r="I17" i="3"/>
  <c r="I18" i="3"/>
  <c r="I19" i="3"/>
  <c r="I15" i="3"/>
  <c r="H16" i="3"/>
  <c r="H17" i="3"/>
  <c r="H18" i="3"/>
  <c r="H19" i="3"/>
  <c r="H15" i="3"/>
  <c r="I26" i="3"/>
  <c r="H26" i="3"/>
  <c r="I25" i="3"/>
  <c r="H25" i="3"/>
  <c r="I24" i="3"/>
  <c r="H24" i="3"/>
  <c r="I23" i="3"/>
  <c r="H23" i="3"/>
  <c r="I22" i="3"/>
  <c r="H22" i="3"/>
  <c r="I21" i="3"/>
  <c r="H21" i="3"/>
  <c r="I13" i="3"/>
  <c r="H13" i="3"/>
  <c r="I12" i="3"/>
  <c r="H12" i="3"/>
  <c r="I11" i="3"/>
  <c r="H11" i="3"/>
  <c r="I10" i="3"/>
  <c r="H10" i="3"/>
  <c r="I9" i="3"/>
  <c r="H9" i="3"/>
  <c r="I8" i="3"/>
  <c r="H8" i="3"/>
</calcChain>
</file>

<file path=xl/sharedStrings.xml><?xml version="1.0" encoding="utf-8"?>
<sst xmlns="http://schemas.openxmlformats.org/spreadsheetml/2006/main" count="140" uniqueCount="87">
  <si>
    <t>Week</t>
  </si>
  <si>
    <t>Task</t>
  </si>
  <si>
    <t>Task description</t>
  </si>
  <si>
    <t>Status</t>
  </si>
  <si>
    <t>Client feedback</t>
  </si>
  <si>
    <t>Not yet</t>
  </si>
  <si>
    <t>Milestone</t>
  </si>
  <si>
    <t>Project ID</t>
  </si>
  <si>
    <t>Client Name</t>
  </si>
  <si>
    <t>Project name</t>
  </si>
  <si>
    <t>Last Update</t>
  </si>
  <si>
    <t>Target Date</t>
  </si>
  <si>
    <t>Completion Date</t>
  </si>
  <si>
    <t>Project lifetime</t>
  </si>
  <si>
    <t>Álvaro Vargas</t>
  </si>
  <si>
    <t>Cockpit Buildig</t>
  </si>
  <si>
    <t>1 week</t>
  </si>
  <si>
    <t>Local Development Environment (Vite + VS Code)</t>
  </si>
  <si>
    <t>Frontend Foundations (Github +  Figma)</t>
  </si>
  <si>
    <t>Data Model &amp; Excel Integration</t>
  </si>
  <si>
    <t>Backend &amp; API</t>
  </si>
  <si>
    <t>Automation &amp; Advanced Features</t>
  </si>
  <si>
    <t>Install Visual Studio Code</t>
  </si>
  <si>
    <t>Install Node.JS</t>
  </si>
  <si>
    <t>Install Vite</t>
  </si>
  <si>
    <t>First Local Render</t>
  </si>
  <si>
    <t>Import Figma Structure</t>
  </si>
  <si>
    <t>Validate Figma → Vite Render</t>
  </si>
  <si>
    <t>Download and Install VS Code. Verify that it opens correctly and can create/edit project files.</t>
  </si>
  <si>
    <t>Achieved</t>
  </si>
  <si>
    <t>Download and Install Node.JS. Verify instllation from terminal using version commands.</t>
  </si>
  <si>
    <t>Create a local Vite Project and understand how Vite serves a webpage locally</t>
  </si>
  <si>
    <t>Open he Local Vite URL and verify that changes in code immediately appear in the browser.</t>
  </si>
  <si>
    <t>Import the Figma-generated project structure into the local Vite environment and resolve required dependencies for successful rendering.</t>
  </si>
  <si>
    <t>Confirm the workflow: Figma Export → VS Code → Vite → Browser, ensuring UI changes render correctly in real time.</t>
  </si>
  <si>
    <t>Repo CleanUp</t>
  </si>
  <si>
    <t>Audit current Figma-generated structure and identify required files versus temporery assets.</t>
  </si>
  <si>
    <t>Reacty Entry Point</t>
  </si>
  <si>
    <t>Create and validate the application startup chain (index.html → main.tsx → app.tsx)</t>
  </si>
  <si>
    <t>Component Mapping</t>
  </si>
  <si>
    <t>Identify the purpose of every major TSX component and document dependencies</t>
  </si>
  <si>
    <t>UI optimization</t>
  </si>
  <si>
    <t>Consolidate duplicated components while preserving visual functionality</t>
  </si>
  <si>
    <t>GitHub Pages validation</t>
  </si>
  <si>
    <t>Publish the first visible version of Cockpit online</t>
  </si>
  <si>
    <t>Excel Template Design</t>
  </si>
  <si>
    <t>Define the tandard spreadsheets structure for projects, milestones, tasks, progress, status, and client feedback</t>
  </si>
  <si>
    <t>Template Export System</t>
  </si>
  <si>
    <t>Allow users to download the official Cockpit spreadsheet template from the plaform</t>
  </si>
  <si>
    <t>Excel Import Validtion</t>
  </si>
  <si>
    <t>Upload and validate completed spreadsheets before processing project data.</t>
  </si>
  <si>
    <t>Data Mapping Engine</t>
  </si>
  <si>
    <t>Trasform spreadsheet rows into structured Cockpit project records and dashboard entitites.</t>
  </si>
  <si>
    <t>Working on</t>
  </si>
  <si>
    <t>Dynamic Dashoard Binding</t>
  </si>
  <si>
    <t>Replace static dashboards values with imported projects data, percentages and statuses.</t>
  </si>
  <si>
    <t>Multi-Project Validation</t>
  </si>
  <si>
    <t>Verify that different completed templates generate correct dashboards without core modifications.</t>
  </si>
  <si>
    <t>Render Environment Setup</t>
  </si>
  <si>
    <t>Create and configure a Render deployment environment for backend services.</t>
  </si>
  <si>
    <t>FastAPI Project Creation</t>
  </si>
  <si>
    <t>Build the first FastAPI backend capable of receiving project requests</t>
  </si>
  <si>
    <t>Supabase Setup</t>
  </si>
  <si>
    <t>Create and configure the project database, authentication and API access</t>
  </si>
  <si>
    <t>Database Archiitecture</t>
  </si>
  <si>
    <t>Define tables and relationships for clients, projects, milestones, tasks and feedback</t>
  </si>
  <si>
    <t>Front-Backend Communication</t>
  </si>
  <si>
    <t>Connect Cockpit frontend to FastAPI and Supabase endpoints.</t>
  </si>
  <si>
    <t>API Validation &amp; Deployment</t>
  </si>
  <si>
    <t>Verify data exchange, persistence and backend perationafter deployment</t>
  </si>
  <si>
    <t>Multi-Client  Dashboard Generation</t>
  </si>
  <si>
    <t>Geneate independient dashboards fro the same platform using imported projects daaatasets.</t>
  </si>
  <si>
    <t>Role management</t>
  </si>
  <si>
    <t>Create Administrator and client access models with appropiate permissions.</t>
  </si>
  <si>
    <t>Progress Tracking Automation</t>
  </si>
  <si>
    <t>Automatically calculate milestone completion, project progress percentages and status indicators based on imported project data and client updates.</t>
  </si>
  <si>
    <t>PDF Reporting</t>
  </si>
  <si>
    <t>Automatically update dashboard progress, milestone completion and status indicators.</t>
  </si>
  <si>
    <t>Email Automation</t>
  </si>
  <si>
    <t>Enable clients to submit feedback and synchronize updates across the platform.</t>
  </si>
  <si>
    <t>Scalability Valdiation</t>
  </si>
  <si>
    <t>Generate project reports and notify stakeholders when milestones change status.</t>
  </si>
  <si>
    <t>Production Release</t>
  </si>
  <si>
    <t>Verify scalability and readiness for real client usage before launch.</t>
  </si>
  <si>
    <t>Retry required</t>
  </si>
  <si>
    <t xml:space="preserve">Overall progress </t>
  </si>
  <si>
    <t>Weekly 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</si>
</sst>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0" fontId="0" fillId="2" borderId="0" xfId="0" applyNumberFormat="1" applyFill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10" fontId="0" fillId="0" borderId="5" xfId="0" applyNumberFormat="1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6" xfId="0" applyBorder="1" applyAlignment="1">
      <alignment vertical="center"/>
    </xf>
    <xf numFmtId="10" fontId="0" fillId="0" borderId="6" xfId="0" applyNumberFormat="1" applyBorder="1" applyAlignment="1">
      <alignment vertical="center"/>
    </xf>
    <xf numFmtId="10" fontId="0" fillId="0" borderId="7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10" fontId="0" fillId="0" borderId="3" xfId="0" applyNumberFormat="1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10" fontId="0" fillId="0" borderId="11" xfId="0" applyNumberFormat="1" applyBorder="1" applyAlignment="1">
      <alignment vertical="center"/>
    </xf>
    <xf numFmtId="10" fontId="0" fillId="0" borderId="13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0" fontId="0" fillId="0" borderId="8" xfId="0" applyNumberFormat="1" applyBorder="1" applyAlignment="1">
      <alignment vertical="center"/>
    </xf>
    <xf numFmtId="10" fontId="0" fillId="0" borderId="9" xfId="0" applyNumberFormat="1" applyBorder="1" applyAlignment="1">
      <alignment vertical="center"/>
    </xf>
    <xf numFmtId="10" fontId="0" fillId="0" borderId="10" xfId="0" applyNumberFormat="1" applyBorder="1" applyAlignment="1">
      <alignment vertical="center"/>
    </xf>
    <xf numFmtId="10" fontId="0" fillId="0" borderId="14" xfId="0" applyNumberFormat="1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4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980F-B6F6-41FB-BB37-72FA80C82E81}">
  <dimension ref="A1:I47"/>
  <sheetViews>
    <sheetView tabSelected="1" zoomScale="55" zoomScaleNormal="55" workbookViewId="0">
      <selection activeCell="R18" sqref="R18"/>
    </sheetView>
  </sheetViews>
  <sheetFormatPr baseColWidth="10" defaultColWidth="11.42578125" defaultRowHeight="15" x14ac:dyDescent="0.25"/>
  <cols>
    <col min="1" max="1" width="13.85546875" style="1" customWidth="1"/>
    <col min="2" max="2" width="32.7109375" style="1" bestFit="1" customWidth="1"/>
    <col min="3" max="3" width="25.42578125" style="1" customWidth="1"/>
    <col min="4" max="4" width="38.140625" style="1" customWidth="1"/>
    <col min="5" max="5" width="11.42578125" style="1"/>
    <col min="6" max="6" width="36.7109375" style="1" customWidth="1"/>
    <col min="7" max="7" width="14.42578125" style="1" customWidth="1"/>
    <col min="8" max="8" width="17.28515625" style="3" bestFit="1" customWidth="1"/>
    <col min="9" max="9" width="17" style="1" bestFit="1" customWidth="1"/>
    <col min="10" max="16384" width="11.42578125" style="1"/>
  </cols>
  <sheetData>
    <row r="1" spans="1:9" x14ac:dyDescent="0.25">
      <c r="A1" s="1" t="s">
        <v>7</v>
      </c>
      <c r="B1" s="6">
        <v>1</v>
      </c>
      <c r="E1" s="1" t="s">
        <v>13</v>
      </c>
      <c r="G1" s="6" t="s">
        <v>16</v>
      </c>
    </row>
    <row r="2" spans="1:9" x14ac:dyDescent="0.25">
      <c r="A2" s="1" t="s">
        <v>8</v>
      </c>
      <c r="B2" s="6" t="s">
        <v>14</v>
      </c>
      <c r="E2" s="1" t="s">
        <v>11</v>
      </c>
      <c r="G2" s="7">
        <v>46171</v>
      </c>
    </row>
    <row r="3" spans="1:9" x14ac:dyDescent="0.25">
      <c r="A3" s="1" t="s">
        <v>9</v>
      </c>
      <c r="B3" s="6" t="s">
        <v>15</v>
      </c>
      <c r="E3" s="1" t="s">
        <v>10</v>
      </c>
      <c r="G3" s="7">
        <v>46168</v>
      </c>
    </row>
    <row r="4" spans="1:9" x14ac:dyDescent="0.25">
      <c r="A4" s="1" t="s">
        <v>10</v>
      </c>
      <c r="B4" s="7">
        <v>46168</v>
      </c>
      <c r="E4" s="1" t="s">
        <v>12</v>
      </c>
      <c r="G4" s="7">
        <v>46171</v>
      </c>
    </row>
    <row r="5" spans="1:9" x14ac:dyDescent="0.25">
      <c r="A5" s="4"/>
      <c r="B5" s="4"/>
      <c r="C5" s="4"/>
      <c r="D5" s="4"/>
      <c r="E5" s="4"/>
      <c r="F5" s="4"/>
      <c r="G5" s="4"/>
      <c r="H5" s="5"/>
      <c r="I5" s="4"/>
    </row>
    <row r="6" spans="1:9" x14ac:dyDescent="0.25">
      <c r="A6" s="1" t="s">
        <v>0</v>
      </c>
      <c r="B6" s="1" t="s">
        <v>6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84</v>
      </c>
      <c r="H6" s="3" t="s">
        <v>86</v>
      </c>
      <c r="I6" s="1" t="s">
        <v>85</v>
      </c>
    </row>
    <row r="7" spans="1:9" ht="18.75" customHeight="1" x14ac:dyDescent="0.25">
      <c r="A7" s="11"/>
      <c r="B7" s="11"/>
      <c r="C7" s="11"/>
      <c r="D7" s="11"/>
      <c r="E7" s="11"/>
      <c r="F7" s="11"/>
      <c r="G7" s="11"/>
      <c r="H7" s="11"/>
      <c r="I7" s="11"/>
    </row>
    <row r="8" spans="1:9" ht="45" x14ac:dyDescent="0.25">
      <c r="A8" s="30">
        <v>1</v>
      </c>
      <c r="B8" s="2" t="s">
        <v>17</v>
      </c>
      <c r="C8" s="8" t="s">
        <v>22</v>
      </c>
      <c r="D8" s="9" t="s">
        <v>28</v>
      </c>
      <c r="E8" s="1" t="s">
        <v>29</v>
      </c>
      <c r="H8" s="3">
        <f t="shared" ref="H8:H13" si="0">IF(E8="Achieved",1/6,0)</f>
        <v>0.16666666666666666</v>
      </c>
      <c r="I8" s="10">
        <f t="shared" ref="I8:I13" si="1">IF(E8="Achieved",1/30,0)</f>
        <v>3.3333333333333333E-2</v>
      </c>
    </row>
    <row r="9" spans="1:9" ht="45" x14ac:dyDescent="0.25">
      <c r="A9" s="30">
        <v>1</v>
      </c>
      <c r="B9" s="2" t="s">
        <v>17</v>
      </c>
      <c r="C9" s="2" t="s">
        <v>23</v>
      </c>
      <c r="D9" s="2" t="s">
        <v>30</v>
      </c>
      <c r="E9" s="1" t="s">
        <v>29</v>
      </c>
      <c r="H9" s="3">
        <f t="shared" si="0"/>
        <v>0.16666666666666666</v>
      </c>
      <c r="I9" s="10">
        <f t="shared" si="1"/>
        <v>3.3333333333333333E-2</v>
      </c>
    </row>
    <row r="10" spans="1:9" ht="45" x14ac:dyDescent="0.25">
      <c r="A10" s="30">
        <v>1</v>
      </c>
      <c r="B10" s="2" t="s">
        <v>17</v>
      </c>
      <c r="C10" s="2" t="s">
        <v>24</v>
      </c>
      <c r="D10" s="2" t="s">
        <v>31</v>
      </c>
      <c r="E10" s="1" t="s">
        <v>29</v>
      </c>
      <c r="H10" s="3">
        <f t="shared" si="0"/>
        <v>0.16666666666666666</v>
      </c>
      <c r="I10" s="10">
        <f t="shared" si="1"/>
        <v>3.3333333333333333E-2</v>
      </c>
    </row>
    <row r="11" spans="1:9" ht="45" x14ac:dyDescent="0.25">
      <c r="A11" s="30">
        <v>1</v>
      </c>
      <c r="B11" s="2" t="s">
        <v>17</v>
      </c>
      <c r="C11" s="2" t="s">
        <v>25</v>
      </c>
      <c r="D11" s="2" t="s">
        <v>32</v>
      </c>
      <c r="E11" s="1" t="s">
        <v>29</v>
      </c>
      <c r="H11" s="3">
        <f t="shared" si="0"/>
        <v>0.16666666666666666</v>
      </c>
      <c r="I11" s="10">
        <f t="shared" si="1"/>
        <v>3.3333333333333333E-2</v>
      </c>
    </row>
    <row r="12" spans="1:9" ht="60" x14ac:dyDescent="0.25">
      <c r="A12" s="30">
        <v>1</v>
      </c>
      <c r="B12" s="2" t="s">
        <v>17</v>
      </c>
      <c r="C12" s="2" t="s">
        <v>26</v>
      </c>
      <c r="D12" s="2" t="s">
        <v>33</v>
      </c>
      <c r="E12" s="1" t="s">
        <v>29</v>
      </c>
      <c r="H12" s="3">
        <f t="shared" si="0"/>
        <v>0.16666666666666666</v>
      </c>
      <c r="I12" s="10">
        <f t="shared" si="1"/>
        <v>3.3333333333333333E-2</v>
      </c>
    </row>
    <row r="13" spans="1:9" ht="45" x14ac:dyDescent="0.25">
      <c r="A13" s="31">
        <v>1</v>
      </c>
      <c r="B13" s="11" t="s">
        <v>17</v>
      </c>
      <c r="C13" s="12" t="s">
        <v>27</v>
      </c>
      <c r="D13" s="12" t="s">
        <v>34</v>
      </c>
      <c r="E13" s="13" t="s">
        <v>29</v>
      </c>
      <c r="F13" s="14"/>
      <c r="G13" s="14"/>
      <c r="H13" s="15">
        <f t="shared" si="0"/>
        <v>0.16666666666666666</v>
      </c>
      <c r="I13" s="16">
        <f t="shared" si="1"/>
        <v>3.3333333333333333E-2</v>
      </c>
    </row>
    <row r="14" spans="1:9" x14ac:dyDescent="0.25">
      <c r="A14" s="6"/>
      <c r="B14" s="28"/>
      <c r="E14" s="28"/>
      <c r="H14" s="1"/>
      <c r="I14" s="3"/>
    </row>
    <row r="15" spans="1:9" ht="45" x14ac:dyDescent="0.25">
      <c r="A15" s="32">
        <v>2</v>
      </c>
      <c r="B15" s="2" t="s">
        <v>18</v>
      </c>
      <c r="C15" s="9" t="s">
        <v>35</v>
      </c>
      <c r="D15" s="9" t="s">
        <v>36</v>
      </c>
      <c r="E15" s="1" t="s">
        <v>29</v>
      </c>
      <c r="F15" s="8"/>
      <c r="G15" s="8"/>
      <c r="H15" s="17">
        <f>IF(E15="Achieved",1/5,0)</f>
        <v>0.2</v>
      </c>
      <c r="I15" s="18">
        <f>IF(E15="Achieved",1/25,0)</f>
        <v>0.04</v>
      </c>
    </row>
    <row r="16" spans="1:9" ht="45" x14ac:dyDescent="0.25">
      <c r="A16" s="33">
        <v>2</v>
      </c>
      <c r="B16" s="2" t="s">
        <v>18</v>
      </c>
      <c r="C16" s="2" t="s">
        <v>37</v>
      </c>
      <c r="D16" s="2" t="s">
        <v>38</v>
      </c>
      <c r="E16" s="1" t="s">
        <v>29</v>
      </c>
      <c r="H16" s="3">
        <f t="shared" ref="H16:H19" si="2">IF(E16="Achieved",1/5,0)</f>
        <v>0.2</v>
      </c>
      <c r="I16" s="10">
        <f t="shared" ref="I16:I19" si="3">IF(E16="Achieved",1/25,0)</f>
        <v>0.04</v>
      </c>
    </row>
    <row r="17" spans="1:9" ht="30" x14ac:dyDescent="0.25">
      <c r="A17" s="33">
        <v>2</v>
      </c>
      <c r="B17" s="2" t="s">
        <v>18</v>
      </c>
      <c r="C17" s="2" t="s">
        <v>39</v>
      </c>
      <c r="D17" s="2" t="s">
        <v>40</v>
      </c>
      <c r="E17" s="1" t="s">
        <v>29</v>
      </c>
      <c r="H17" s="3">
        <f t="shared" si="2"/>
        <v>0.2</v>
      </c>
      <c r="I17" s="10">
        <f t="shared" si="3"/>
        <v>0.04</v>
      </c>
    </row>
    <row r="18" spans="1:9" ht="30" x14ac:dyDescent="0.25">
      <c r="A18" s="33">
        <v>2</v>
      </c>
      <c r="B18" s="2" t="s">
        <v>18</v>
      </c>
      <c r="C18" s="2" t="s">
        <v>41</v>
      </c>
      <c r="D18" s="2" t="s">
        <v>42</v>
      </c>
      <c r="E18" s="1" t="s">
        <v>29</v>
      </c>
      <c r="H18" s="3">
        <f t="shared" si="2"/>
        <v>0.2</v>
      </c>
      <c r="I18" s="10">
        <f t="shared" si="3"/>
        <v>0.04</v>
      </c>
    </row>
    <row r="19" spans="1:9" ht="30" x14ac:dyDescent="0.25">
      <c r="A19" s="33">
        <v>2</v>
      </c>
      <c r="B19" s="2" t="s">
        <v>18</v>
      </c>
      <c r="C19" s="12" t="s">
        <v>43</v>
      </c>
      <c r="D19" s="12" t="s">
        <v>44</v>
      </c>
      <c r="E19" s="13" t="s">
        <v>29</v>
      </c>
      <c r="H19" s="3">
        <f t="shared" si="2"/>
        <v>0.2</v>
      </c>
      <c r="I19" s="10">
        <f t="shared" si="3"/>
        <v>0.04</v>
      </c>
    </row>
    <row r="20" spans="1:9" x14ac:dyDescent="0.25">
      <c r="A20" s="34"/>
      <c r="B20" s="28"/>
      <c r="C20" s="28"/>
      <c r="D20" s="28"/>
      <c r="E20" s="28"/>
      <c r="F20" s="28"/>
      <c r="G20" s="28"/>
      <c r="H20" s="28"/>
      <c r="I20" s="29"/>
    </row>
    <row r="21" spans="1:9" ht="45" x14ac:dyDescent="0.25">
      <c r="A21" s="35">
        <v>3</v>
      </c>
      <c r="B21" s="2" t="s">
        <v>19</v>
      </c>
      <c r="C21" s="9" t="s">
        <v>45</v>
      </c>
      <c r="D21" s="9" t="s">
        <v>46</v>
      </c>
      <c r="E21" s="9" t="s">
        <v>29</v>
      </c>
      <c r="H21" s="3">
        <f t="shared" ref="H21:H26" si="4">IF(E21="Achieved",1/6,0)</f>
        <v>0.16666666666666666</v>
      </c>
      <c r="I21" s="10">
        <f t="shared" ref="I21:I26" si="5">IF(E21="Achieved",1/30,0)</f>
        <v>3.3333333333333333E-2</v>
      </c>
    </row>
    <row r="22" spans="1:9" ht="45" x14ac:dyDescent="0.25">
      <c r="A22" s="35">
        <v>3</v>
      </c>
      <c r="B22" s="2" t="s">
        <v>19</v>
      </c>
      <c r="C22" s="1" t="s">
        <v>47</v>
      </c>
      <c r="D22" s="2" t="s">
        <v>48</v>
      </c>
      <c r="E22" s="1" t="s">
        <v>29</v>
      </c>
      <c r="H22" s="3">
        <f t="shared" si="4"/>
        <v>0.16666666666666666</v>
      </c>
      <c r="I22" s="10">
        <f t="shared" si="5"/>
        <v>3.3333333333333333E-2</v>
      </c>
    </row>
    <row r="23" spans="1:9" ht="45" x14ac:dyDescent="0.25">
      <c r="A23" s="35">
        <v>3</v>
      </c>
      <c r="B23" s="2" t="s">
        <v>19</v>
      </c>
      <c r="C23" s="2" t="s">
        <v>49</v>
      </c>
      <c r="D23" s="2" t="s">
        <v>50</v>
      </c>
      <c r="E23" s="1" t="s">
        <v>29</v>
      </c>
      <c r="H23" s="3">
        <f t="shared" si="4"/>
        <v>0.16666666666666666</v>
      </c>
      <c r="I23" s="10">
        <f t="shared" si="5"/>
        <v>3.3333333333333333E-2</v>
      </c>
    </row>
    <row r="24" spans="1:9" ht="45" x14ac:dyDescent="0.25">
      <c r="A24" s="35">
        <v>3</v>
      </c>
      <c r="B24" s="2" t="s">
        <v>19</v>
      </c>
      <c r="C24" s="2" t="s">
        <v>51</v>
      </c>
      <c r="D24" s="2" t="s">
        <v>52</v>
      </c>
      <c r="E24" s="1" t="s">
        <v>53</v>
      </c>
      <c r="H24" s="3">
        <f t="shared" si="4"/>
        <v>0</v>
      </c>
      <c r="I24" s="10">
        <f t="shared" si="5"/>
        <v>0</v>
      </c>
    </row>
    <row r="25" spans="1:9" ht="45" x14ac:dyDescent="0.25">
      <c r="A25" s="35">
        <v>3</v>
      </c>
      <c r="B25" s="2" t="s">
        <v>19</v>
      </c>
      <c r="C25" s="1" t="s">
        <v>54</v>
      </c>
      <c r="D25" s="2" t="s">
        <v>55</v>
      </c>
      <c r="E25" s="1" t="s">
        <v>5</v>
      </c>
      <c r="H25" s="3">
        <f t="shared" si="4"/>
        <v>0</v>
      </c>
      <c r="I25" s="10">
        <f t="shared" si="5"/>
        <v>0</v>
      </c>
    </row>
    <row r="26" spans="1:9" ht="45" x14ac:dyDescent="0.25">
      <c r="A26" s="35">
        <v>3</v>
      </c>
      <c r="B26" s="2" t="s">
        <v>19</v>
      </c>
      <c r="C26" s="13" t="s">
        <v>56</v>
      </c>
      <c r="D26" s="19" t="s">
        <v>57</v>
      </c>
      <c r="E26" s="13" t="s">
        <v>5</v>
      </c>
      <c r="F26" s="13"/>
      <c r="G26" s="13"/>
      <c r="H26" s="20">
        <f t="shared" si="4"/>
        <v>0</v>
      </c>
      <c r="I26" s="21">
        <f t="shared" si="5"/>
        <v>0</v>
      </c>
    </row>
    <row r="27" spans="1:9" x14ac:dyDescent="0.25">
      <c r="A27" s="36"/>
      <c r="B27" s="22"/>
      <c r="C27" s="22"/>
      <c r="D27" s="22"/>
      <c r="E27" s="22"/>
      <c r="F27" s="22"/>
      <c r="G27" s="22"/>
      <c r="H27" s="22"/>
      <c r="I27" s="22"/>
    </row>
    <row r="28" spans="1:9" ht="45" x14ac:dyDescent="0.25">
      <c r="A28" s="37">
        <v>4</v>
      </c>
      <c r="B28" s="9" t="s">
        <v>20</v>
      </c>
      <c r="C28" s="9" t="s">
        <v>58</v>
      </c>
      <c r="D28" s="9" t="s">
        <v>59</v>
      </c>
      <c r="E28" s="22" t="s">
        <v>5</v>
      </c>
      <c r="F28" s="22"/>
      <c r="G28" s="22"/>
      <c r="H28" s="23">
        <f>IF(E28="Achieved",1/6,0)</f>
        <v>0</v>
      </c>
      <c r="I28" s="24">
        <f>IF(E28="Achieved",1/230,0)</f>
        <v>0</v>
      </c>
    </row>
    <row r="29" spans="1:9" ht="30" x14ac:dyDescent="0.25">
      <c r="A29" s="35">
        <v>4</v>
      </c>
      <c r="B29" s="2" t="s">
        <v>20</v>
      </c>
      <c r="C29" s="2" t="s">
        <v>60</v>
      </c>
      <c r="D29" s="2" t="s">
        <v>61</v>
      </c>
      <c r="E29" s="1" t="s">
        <v>5</v>
      </c>
      <c r="H29" s="3">
        <f t="shared" ref="H29:H33" si="6">IF(E29="Achieved",1/6,0)</f>
        <v>0</v>
      </c>
      <c r="I29" s="25">
        <f t="shared" ref="I29:I33" si="7">IF(E29="Achieved",1/230,0)</f>
        <v>0</v>
      </c>
    </row>
    <row r="30" spans="1:9" ht="30" x14ac:dyDescent="0.25">
      <c r="A30" s="35">
        <v>4</v>
      </c>
      <c r="B30" s="2" t="s">
        <v>20</v>
      </c>
      <c r="C30" s="1" t="s">
        <v>62</v>
      </c>
      <c r="D30" s="2" t="s">
        <v>63</v>
      </c>
      <c r="E30" s="1" t="s">
        <v>5</v>
      </c>
      <c r="H30" s="3">
        <f t="shared" si="6"/>
        <v>0</v>
      </c>
      <c r="I30" s="25">
        <f t="shared" si="7"/>
        <v>0</v>
      </c>
    </row>
    <row r="31" spans="1:9" ht="45" x14ac:dyDescent="0.25">
      <c r="A31" s="35">
        <v>4</v>
      </c>
      <c r="B31" s="2" t="s">
        <v>20</v>
      </c>
      <c r="C31" s="1" t="s">
        <v>64</v>
      </c>
      <c r="D31" s="2" t="s">
        <v>65</v>
      </c>
      <c r="E31" s="1" t="s">
        <v>5</v>
      </c>
      <c r="H31" s="3">
        <f t="shared" si="6"/>
        <v>0</v>
      </c>
      <c r="I31" s="25">
        <f t="shared" si="7"/>
        <v>0</v>
      </c>
    </row>
    <row r="32" spans="1:9" ht="30" x14ac:dyDescent="0.25">
      <c r="A32" s="35">
        <v>4</v>
      </c>
      <c r="B32" s="2" t="s">
        <v>20</v>
      </c>
      <c r="C32" s="2" t="s">
        <v>66</v>
      </c>
      <c r="D32" s="2" t="s">
        <v>67</v>
      </c>
      <c r="E32" s="1" t="s">
        <v>5</v>
      </c>
      <c r="H32" s="3">
        <f t="shared" si="6"/>
        <v>0</v>
      </c>
      <c r="I32" s="25">
        <f t="shared" si="7"/>
        <v>0</v>
      </c>
    </row>
    <row r="33" spans="1:9" ht="30" x14ac:dyDescent="0.25">
      <c r="A33" s="35">
        <v>4</v>
      </c>
      <c r="B33" s="2" t="s">
        <v>20</v>
      </c>
      <c r="C33" s="11" t="s">
        <v>68</v>
      </c>
      <c r="D33" s="11" t="s">
        <v>69</v>
      </c>
      <c r="E33" s="14" t="s">
        <v>5</v>
      </c>
      <c r="F33" s="13"/>
      <c r="G33" s="13"/>
      <c r="H33" s="20">
        <f t="shared" si="6"/>
        <v>0</v>
      </c>
      <c r="I33" s="26">
        <f t="shared" si="7"/>
        <v>0</v>
      </c>
    </row>
    <row r="34" spans="1:9" ht="17.25" customHeight="1" x14ac:dyDescent="0.25">
      <c r="A34" s="38"/>
      <c r="B34" s="27"/>
      <c r="C34" s="27"/>
      <c r="D34" s="27"/>
      <c r="E34" s="27"/>
      <c r="F34" s="27"/>
      <c r="G34" s="27"/>
      <c r="H34" s="27"/>
      <c r="I34" s="27"/>
    </row>
    <row r="35" spans="1:9" ht="45" x14ac:dyDescent="0.25">
      <c r="A35" s="39">
        <v>5</v>
      </c>
      <c r="B35" s="27" t="s">
        <v>21</v>
      </c>
      <c r="C35" s="27" t="s">
        <v>70</v>
      </c>
      <c r="D35" s="27" t="s">
        <v>71</v>
      </c>
      <c r="E35" s="8" t="s">
        <v>5</v>
      </c>
      <c r="F35" s="8"/>
      <c r="G35" s="8"/>
      <c r="H35" s="17">
        <f>IF(E35="Achieved",1/7,0)</f>
        <v>0</v>
      </c>
      <c r="I35" s="18">
        <f>IF(E35="Achieved",1/35,0)</f>
        <v>0</v>
      </c>
    </row>
    <row r="36" spans="1:9" ht="30" x14ac:dyDescent="0.25">
      <c r="A36" s="40">
        <v>5</v>
      </c>
      <c r="B36" s="2" t="s">
        <v>21</v>
      </c>
      <c r="C36" s="2" t="s">
        <v>72</v>
      </c>
      <c r="D36" s="2" t="s">
        <v>73</v>
      </c>
      <c r="E36" s="1" t="s">
        <v>5</v>
      </c>
      <c r="H36" s="3">
        <f t="shared" ref="H36:H39" si="8">IF(E36="Achieved",1/7,0)</f>
        <v>0</v>
      </c>
      <c r="I36" s="10">
        <f t="shared" ref="I36:I39" si="9">IF(E36="Achieved",1/35,0)</f>
        <v>0</v>
      </c>
    </row>
    <row r="37" spans="1:9" ht="75" x14ac:dyDescent="0.25">
      <c r="A37" s="40">
        <v>5</v>
      </c>
      <c r="B37" s="2" t="s">
        <v>21</v>
      </c>
      <c r="C37" s="2" t="s">
        <v>74</v>
      </c>
      <c r="D37" s="2" t="s">
        <v>75</v>
      </c>
      <c r="E37" s="1" t="s">
        <v>5</v>
      </c>
      <c r="H37" s="3">
        <f t="shared" si="8"/>
        <v>0</v>
      </c>
      <c r="I37" s="10">
        <f t="shared" si="9"/>
        <v>0</v>
      </c>
    </row>
    <row r="38" spans="1:9" ht="45" x14ac:dyDescent="0.25">
      <c r="A38" s="40">
        <v>5</v>
      </c>
      <c r="B38" s="2" t="s">
        <v>21</v>
      </c>
      <c r="C38" s="2" t="s">
        <v>76</v>
      </c>
      <c r="D38" s="2" t="s">
        <v>77</v>
      </c>
      <c r="E38" s="1" t="s">
        <v>5</v>
      </c>
      <c r="H38" s="3">
        <f t="shared" si="8"/>
        <v>0</v>
      </c>
      <c r="I38" s="10">
        <f t="shared" si="9"/>
        <v>0</v>
      </c>
    </row>
    <row r="39" spans="1:9" ht="30" x14ac:dyDescent="0.25">
      <c r="A39" s="40">
        <v>5</v>
      </c>
      <c r="B39" s="2" t="s">
        <v>21</v>
      </c>
      <c r="C39" s="1" t="s">
        <v>78</v>
      </c>
      <c r="D39" s="2" t="s">
        <v>79</v>
      </c>
      <c r="E39" s="1" t="s">
        <v>5</v>
      </c>
      <c r="H39" s="3">
        <f t="shared" si="8"/>
        <v>0</v>
      </c>
      <c r="I39" s="10">
        <f t="shared" si="9"/>
        <v>0</v>
      </c>
    </row>
    <row r="40" spans="1:9" ht="45" x14ac:dyDescent="0.25">
      <c r="A40" s="41">
        <v>5</v>
      </c>
      <c r="B40" s="2" t="s">
        <v>21</v>
      </c>
      <c r="C40" s="2" t="s">
        <v>80</v>
      </c>
      <c r="D40" s="2" t="s">
        <v>81</v>
      </c>
      <c r="E40" s="1" t="s">
        <v>5</v>
      </c>
      <c r="H40" s="3">
        <f t="shared" ref="H40:H41" si="10">IF(E40="Achieved",1/7,0)</f>
        <v>0</v>
      </c>
      <c r="I40" s="10">
        <f t="shared" ref="I40:I41" si="11">IF(E40="Achieved",1/35,0)</f>
        <v>0</v>
      </c>
    </row>
    <row r="41" spans="1:9" ht="30" x14ac:dyDescent="0.25">
      <c r="A41" s="41">
        <v>5</v>
      </c>
      <c r="B41" s="11" t="s">
        <v>21</v>
      </c>
      <c r="C41" s="13" t="s">
        <v>82</v>
      </c>
      <c r="D41" s="11" t="s">
        <v>83</v>
      </c>
      <c r="E41" s="14" t="s">
        <v>5</v>
      </c>
      <c r="F41" s="13"/>
      <c r="G41" s="13"/>
      <c r="H41" s="20">
        <f t="shared" si="10"/>
        <v>0</v>
      </c>
      <c r="I41" s="21">
        <f t="shared" si="11"/>
        <v>0</v>
      </c>
    </row>
    <row r="42" spans="1:9" x14ac:dyDescent="0.25">
      <c r="A42" s="22"/>
    </row>
    <row r="47" spans="1:9" x14ac:dyDescent="0.25">
      <c r="C47" s="2"/>
      <c r="D47" s="2"/>
    </row>
  </sheetData>
  <phoneticPr fontId="1" type="noConversion"/>
  <conditionalFormatting sqref="C8:D8">
    <cfRule type="expression" dxfId="1" priority="1">
      <formula>#REF!="Not yet"</formula>
    </cfRule>
  </conditionalFormatting>
  <conditionalFormatting sqref="F8:I8">
    <cfRule type="expression" dxfId="0" priority="3">
      <formula>#REF!="Not yet"</formula>
    </cfRule>
  </conditionalFormatting>
  <dataValidations disablePrompts="1" xWindow="555" yWindow="535" count="2">
    <dataValidation type="list" allowBlank="1" showInputMessage="1" showErrorMessage="1" errorTitle="Valor no válido" error="Por favor seleccione una opción de la lista" promptTitle="Status" prompt="Seleccione el estado de la tarea" sqref="E28:E33 E15:E19 E8:E13 E21:E26 E35:E41" xr:uid="{A1302F42-AED7-48B1-9F0F-92EC16EFDCDE}">
      <formula1>"Not yet,Working on,Delayed,Achieved"</formula1>
    </dataValidation>
    <dataValidation type="list" allowBlank="1" showInputMessage="1" showErrorMessage="1" errorTitle="Valor no válido" error="Por favor seleccione Yes o No de la lista." promptTitle="Selección requerida" prompt="Seleccione Yes o No" sqref="G8:G13 G15:G19 G28:G33 G21:G26 G35:G41" xr:uid="{6BA7A761-D5A6-45C2-904B-149DFD58AE4E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2026-05-12T15:44:31Z</dcterms:created>
  <dcterms:modified xsi:type="dcterms:W3CDTF">2026-05-26T19:16:17Z</dcterms:modified>
  <cp:category/>
  <cp:contentStatus/>
</cp:coreProperties>
</file>